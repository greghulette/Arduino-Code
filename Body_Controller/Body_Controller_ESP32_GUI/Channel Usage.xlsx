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ulette\Documents\GitHub\Arduino-Code\Body_Controller\Body_Controller_ESP32_GUI\"/>
    </mc:Choice>
  </mc:AlternateContent>
  <xr:revisionPtr revIDLastSave="0" documentId="13_ncr:1_{8C34BD38-2CF1-482B-9D61-F0B530DC3A64}" xr6:coauthVersionLast="36" xr6:coauthVersionMax="36" xr10:uidLastSave="{00000000-0000-0000-0000-000000000000}"/>
  <bookViews>
    <workbookView xWindow="0" yWindow="0" windowWidth="3936" windowHeight="8292" xr2:uid="{28EB2EF0-4E6B-4E3F-A895-326AF6E83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M2" i="1" s="1"/>
  <c r="J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J3" i="1"/>
  <c r="I3" i="1" s="1"/>
  <c r="N19" i="1"/>
  <c r="I2" i="1"/>
  <c r="M3" i="1" l="1"/>
  <c r="J4" i="1"/>
  <c r="I4" i="1"/>
  <c r="J5" i="1" s="1"/>
  <c r="I5" i="1" l="1"/>
  <c r="J6" i="1" s="1"/>
  <c r="M4" i="1" l="1"/>
  <c r="I6" i="1"/>
  <c r="J7" i="1" s="1"/>
  <c r="I7" i="1" l="1"/>
  <c r="J8" i="1" s="1"/>
  <c r="M5" i="1"/>
  <c r="I8" i="1" l="1"/>
  <c r="J9" i="1" s="1"/>
  <c r="M6" i="1"/>
  <c r="I9" i="1" l="1"/>
  <c r="J10" i="1" s="1"/>
  <c r="M7" i="1"/>
  <c r="I10" i="1" l="1"/>
  <c r="J11" i="1" s="1"/>
  <c r="M8" i="1"/>
  <c r="I11" i="1" l="1"/>
  <c r="J12" i="1" s="1"/>
  <c r="M9" i="1"/>
  <c r="I12" i="1" l="1"/>
  <c r="J13" i="1" s="1"/>
  <c r="M10" i="1"/>
  <c r="I13" i="1" l="1"/>
  <c r="J14" i="1" s="1"/>
  <c r="M11" i="1"/>
  <c r="M12" i="1" l="1"/>
  <c r="I14" i="1"/>
  <c r="J15" i="1" s="1"/>
  <c r="I15" i="1" l="1"/>
  <c r="J16" i="1" s="1"/>
  <c r="M13" i="1"/>
  <c r="I16" i="1" l="1"/>
  <c r="J17" i="1" s="1"/>
  <c r="M14" i="1"/>
  <c r="I17" i="1" l="1"/>
  <c r="J18" i="1" s="1"/>
  <c r="M16" i="1"/>
  <c r="M15" i="1"/>
  <c r="M17" i="1" l="1"/>
  <c r="I18" i="1" l="1"/>
  <c r="J19" i="1" s="1"/>
  <c r="I19" i="1" s="1"/>
  <c r="M19" i="1" l="1"/>
  <c r="M18" i="1"/>
</calcChain>
</file>

<file path=xl/sharedStrings.xml><?xml version="1.0" encoding="utf-8"?>
<sst xmlns="http://schemas.openxmlformats.org/spreadsheetml/2006/main" count="45" uniqueCount="45">
  <si>
    <t>Channel</t>
  </si>
  <si>
    <t>Turn</t>
  </si>
  <si>
    <t>Forward</t>
  </si>
  <si>
    <t>Dome</t>
  </si>
  <si>
    <t>Knob 1</t>
  </si>
  <si>
    <t>Knob 2</t>
  </si>
  <si>
    <t>SA</t>
  </si>
  <si>
    <t>SB</t>
  </si>
  <si>
    <t>SC</t>
  </si>
  <si>
    <t>SD</t>
  </si>
  <si>
    <t>SE</t>
  </si>
  <si>
    <t>SF</t>
  </si>
  <si>
    <t>SG</t>
  </si>
  <si>
    <t>SH</t>
  </si>
  <si>
    <t>Multiplexed</t>
  </si>
  <si>
    <t>Source</t>
  </si>
  <si>
    <t>B1</t>
  </si>
  <si>
    <t>B2</t>
  </si>
  <si>
    <t>B3</t>
  </si>
  <si>
    <t>B4</t>
  </si>
  <si>
    <t>B5</t>
  </si>
  <si>
    <t>B6</t>
  </si>
  <si>
    <t>T4L</t>
  </si>
  <si>
    <t>T4R</t>
  </si>
  <si>
    <t>T5L</t>
  </si>
  <si>
    <t>T5R</t>
  </si>
  <si>
    <t>T3D</t>
  </si>
  <si>
    <t>T3U</t>
  </si>
  <si>
    <t>T2U</t>
  </si>
  <si>
    <t>T2D</t>
  </si>
  <si>
    <t>T6L</t>
  </si>
  <si>
    <t>T6R</t>
  </si>
  <si>
    <t>T1L</t>
  </si>
  <si>
    <t>T1R</t>
  </si>
  <si>
    <t>Min</t>
  </si>
  <si>
    <t>Max</t>
  </si>
  <si>
    <t>Actual</t>
  </si>
  <si>
    <t>Weight</t>
  </si>
  <si>
    <t>Mid Point</t>
  </si>
  <si>
    <t>Difference from Mid Point</t>
  </si>
  <si>
    <t>Difference from Weight above</t>
  </si>
  <si>
    <t>SI</t>
  </si>
  <si>
    <t>SJ</t>
  </si>
  <si>
    <t>Slider Left</t>
  </si>
  <si>
    <t>Slider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</si>
</sst>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5DF7-3DAB-4D14-A48D-2AB269D48CC9}">
  <dimension ref="A1:N26"/>
  <sheetViews>
    <sheetView tabSelected="1" zoomScale="115" zoomScaleNormal="115" workbookViewId="0">
      <selection activeCell="B21" sqref="B21"/>
    </sheetView>
  </sheetViews>
  <sheetFormatPr defaultRowHeight="14.4" x14ac:dyDescent="0.3"/>
  <cols>
    <col min="2" max="2" width="11.5546875" bestFit="1" customWidth="1"/>
    <col min="9" max="9" width="9" customWidth="1"/>
    <col min="11" max="11" width="9.44140625" bestFit="1" customWidth="1"/>
    <col min="13" max="13" width="9.5546875" customWidth="1"/>
    <col min="14" max="14" width="9.33203125" customWidth="1"/>
  </cols>
  <sheetData>
    <row r="1" spans="1:14" ht="57.6" x14ac:dyDescent="0.3">
      <c r="A1" t="s">
        <v>0</v>
      </c>
      <c r="B1" t="s">
        <v>15</v>
      </c>
      <c r="H1" t="s">
        <v>37</v>
      </c>
      <c r="I1" t="s">
        <v>34</v>
      </c>
      <c r="J1" t="s">
        <v>35</v>
      </c>
      <c r="K1" t="s">
        <v>38</v>
      </c>
      <c r="L1" t="s">
        <v>36</v>
      </c>
      <c r="M1" s="3" t="s">
        <v>39</v>
      </c>
      <c r="N1" s="3" t="s">
        <v>40</v>
      </c>
    </row>
    <row r="2" spans="1:14" x14ac:dyDescent="0.3">
      <c r="A2">
        <v>1</v>
      </c>
      <c r="B2" t="s">
        <v>1</v>
      </c>
      <c r="G2" t="s">
        <v>16</v>
      </c>
      <c r="H2" s="2">
        <v>1</v>
      </c>
      <c r="I2">
        <f>L2-13</f>
        <v>1999</v>
      </c>
      <c r="J2">
        <f>L2+13</f>
        <v>2025</v>
      </c>
      <c r="K2" s="1">
        <f>(J2+I2)/2</f>
        <v>2012</v>
      </c>
      <c r="L2">
        <v>2012</v>
      </c>
      <c r="M2" s="1">
        <f>L2-K2</f>
        <v>0</v>
      </c>
    </row>
    <row r="3" spans="1:14" x14ac:dyDescent="0.3">
      <c r="A3">
        <v>2</v>
      </c>
      <c r="B3" t="s">
        <v>2</v>
      </c>
      <c r="G3" t="s">
        <v>17</v>
      </c>
      <c r="H3" s="2">
        <v>0.95</v>
      </c>
      <c r="I3">
        <f>J3-26</f>
        <v>1973</v>
      </c>
      <c r="J3">
        <f>I2</f>
        <v>1999</v>
      </c>
      <c r="K3" s="1">
        <f t="shared" ref="K3:K19" si="0">(J3+I3)/2</f>
        <v>1986</v>
      </c>
      <c r="L3">
        <v>1986</v>
      </c>
      <c r="M3" s="1">
        <f>L3-K3</f>
        <v>0</v>
      </c>
      <c r="N3">
        <f>L2-L3</f>
        <v>26</v>
      </c>
    </row>
    <row r="4" spans="1:14" x14ac:dyDescent="0.3">
      <c r="A4">
        <v>3</v>
      </c>
      <c r="B4" t="s">
        <v>3</v>
      </c>
      <c r="G4" t="s">
        <v>18</v>
      </c>
      <c r="H4" s="2">
        <v>0.9</v>
      </c>
      <c r="I4">
        <f t="shared" ref="I4:I18" si="1">J4-26</f>
        <v>1947</v>
      </c>
      <c r="J4">
        <f t="shared" ref="J4:J19" si="2">I3</f>
        <v>1973</v>
      </c>
      <c r="K4" s="1">
        <f t="shared" si="0"/>
        <v>1960</v>
      </c>
      <c r="L4">
        <v>1961</v>
      </c>
      <c r="M4" s="1">
        <f>L4-K4</f>
        <v>1</v>
      </c>
      <c r="N4">
        <f t="shared" ref="N3:N19" si="3">L3-L4</f>
        <v>25</v>
      </c>
    </row>
    <row r="5" spans="1:14" x14ac:dyDescent="0.3">
      <c r="A5">
        <v>4</v>
      </c>
      <c r="G5" t="s">
        <v>19</v>
      </c>
      <c r="H5" s="2">
        <v>0.85</v>
      </c>
      <c r="I5">
        <f t="shared" si="1"/>
        <v>1921</v>
      </c>
      <c r="J5">
        <f t="shared" si="2"/>
        <v>1947</v>
      </c>
      <c r="K5" s="1">
        <f t="shared" si="0"/>
        <v>1934</v>
      </c>
      <c r="L5">
        <v>1935</v>
      </c>
      <c r="M5" s="1">
        <f>L5-K5</f>
        <v>1</v>
      </c>
      <c r="N5">
        <f t="shared" si="3"/>
        <v>26</v>
      </c>
    </row>
    <row r="6" spans="1:14" x14ac:dyDescent="0.3">
      <c r="A6">
        <v>5</v>
      </c>
      <c r="B6" t="s">
        <v>4</v>
      </c>
      <c r="G6" t="s">
        <v>20</v>
      </c>
      <c r="H6" s="2">
        <v>0.8</v>
      </c>
      <c r="I6">
        <f t="shared" si="1"/>
        <v>1895</v>
      </c>
      <c r="J6">
        <f t="shared" si="2"/>
        <v>1921</v>
      </c>
      <c r="K6" s="1">
        <f t="shared" si="0"/>
        <v>1908</v>
      </c>
      <c r="L6">
        <v>1909</v>
      </c>
      <c r="M6" s="1">
        <f>L6-K6</f>
        <v>1</v>
      </c>
      <c r="N6">
        <f t="shared" si="3"/>
        <v>26</v>
      </c>
    </row>
    <row r="7" spans="1:14" x14ac:dyDescent="0.3">
      <c r="A7">
        <v>6</v>
      </c>
      <c r="B7" t="s">
        <v>5</v>
      </c>
      <c r="G7" t="s">
        <v>21</v>
      </c>
      <c r="H7" s="2">
        <v>0.75</v>
      </c>
      <c r="I7">
        <f t="shared" si="1"/>
        <v>1869</v>
      </c>
      <c r="J7">
        <f t="shared" si="2"/>
        <v>1895</v>
      </c>
      <c r="K7" s="1">
        <f t="shared" si="0"/>
        <v>1882</v>
      </c>
      <c r="L7">
        <v>1884</v>
      </c>
      <c r="M7" s="1">
        <f>L7-K7</f>
        <v>2</v>
      </c>
      <c r="N7">
        <f t="shared" si="3"/>
        <v>25</v>
      </c>
    </row>
    <row r="8" spans="1:14" x14ac:dyDescent="0.3">
      <c r="A8">
        <v>7</v>
      </c>
      <c r="B8" t="s">
        <v>14</v>
      </c>
      <c r="G8" t="s">
        <v>22</v>
      </c>
      <c r="H8" s="2">
        <v>0.7</v>
      </c>
      <c r="I8">
        <f t="shared" si="1"/>
        <v>1843</v>
      </c>
      <c r="J8">
        <f t="shared" si="2"/>
        <v>1869</v>
      </c>
      <c r="K8" s="1">
        <f t="shared" si="0"/>
        <v>1856</v>
      </c>
      <c r="L8">
        <v>1858</v>
      </c>
      <c r="M8" s="1">
        <f>L8-K8</f>
        <v>2</v>
      </c>
      <c r="N8">
        <f t="shared" si="3"/>
        <v>26</v>
      </c>
    </row>
    <row r="9" spans="1:14" x14ac:dyDescent="0.3">
      <c r="A9">
        <v>8</v>
      </c>
      <c r="B9" t="s">
        <v>6</v>
      </c>
      <c r="G9" t="s">
        <v>23</v>
      </c>
      <c r="H9" s="2">
        <v>0.65</v>
      </c>
      <c r="I9">
        <f t="shared" si="1"/>
        <v>1817</v>
      </c>
      <c r="J9">
        <f t="shared" si="2"/>
        <v>1843</v>
      </c>
      <c r="K9" s="1">
        <f t="shared" si="0"/>
        <v>1830</v>
      </c>
      <c r="L9">
        <v>1833</v>
      </c>
      <c r="M9" s="1">
        <f>L9-K9</f>
        <v>3</v>
      </c>
      <c r="N9">
        <f t="shared" si="3"/>
        <v>25</v>
      </c>
    </row>
    <row r="10" spans="1:14" x14ac:dyDescent="0.3">
      <c r="A10">
        <v>9</v>
      </c>
      <c r="B10" t="s">
        <v>7</v>
      </c>
      <c r="G10" t="s">
        <v>24</v>
      </c>
      <c r="H10" s="2">
        <v>0.6</v>
      </c>
      <c r="I10">
        <f t="shared" si="1"/>
        <v>1791</v>
      </c>
      <c r="J10">
        <f t="shared" si="2"/>
        <v>1817</v>
      </c>
      <c r="K10" s="1">
        <f t="shared" si="0"/>
        <v>1804</v>
      </c>
      <c r="L10">
        <v>1807</v>
      </c>
      <c r="M10" s="1">
        <f>L10-K10</f>
        <v>3</v>
      </c>
      <c r="N10">
        <f t="shared" si="3"/>
        <v>26</v>
      </c>
    </row>
    <row r="11" spans="1:14" x14ac:dyDescent="0.3">
      <c r="A11">
        <v>10</v>
      </c>
      <c r="B11" t="s">
        <v>8</v>
      </c>
      <c r="G11" t="s">
        <v>25</v>
      </c>
      <c r="H11" s="2">
        <v>0.55000000000000004</v>
      </c>
      <c r="I11">
        <f t="shared" si="1"/>
        <v>1765</v>
      </c>
      <c r="J11">
        <f t="shared" si="2"/>
        <v>1791</v>
      </c>
      <c r="K11" s="1">
        <f t="shared" si="0"/>
        <v>1778</v>
      </c>
      <c r="L11">
        <v>1781</v>
      </c>
      <c r="M11" s="1">
        <f>L11-K11</f>
        <v>3</v>
      </c>
      <c r="N11">
        <f t="shared" si="3"/>
        <v>26</v>
      </c>
    </row>
    <row r="12" spans="1:14" x14ac:dyDescent="0.3">
      <c r="A12">
        <v>11</v>
      </c>
      <c r="B12" t="s">
        <v>9</v>
      </c>
      <c r="G12" t="s">
        <v>27</v>
      </c>
      <c r="H12" s="2">
        <v>0.5</v>
      </c>
      <c r="I12">
        <f t="shared" si="1"/>
        <v>1739</v>
      </c>
      <c r="J12">
        <f t="shared" si="2"/>
        <v>1765</v>
      </c>
      <c r="K12" s="1">
        <f t="shared" si="0"/>
        <v>1752</v>
      </c>
      <c r="L12">
        <v>1756</v>
      </c>
      <c r="M12" s="1">
        <f>L12-K12</f>
        <v>4</v>
      </c>
      <c r="N12">
        <f t="shared" si="3"/>
        <v>25</v>
      </c>
    </row>
    <row r="13" spans="1:14" x14ac:dyDescent="0.3">
      <c r="A13">
        <v>12</v>
      </c>
      <c r="B13" t="s">
        <v>10</v>
      </c>
      <c r="G13" t="s">
        <v>26</v>
      </c>
      <c r="H13" s="2">
        <v>0.45</v>
      </c>
      <c r="I13">
        <f t="shared" si="1"/>
        <v>1713</v>
      </c>
      <c r="J13">
        <f t="shared" si="2"/>
        <v>1739</v>
      </c>
      <c r="K13" s="1">
        <f t="shared" si="0"/>
        <v>1726</v>
      </c>
      <c r="L13">
        <v>1730</v>
      </c>
      <c r="M13" s="1">
        <f>L13-K13</f>
        <v>4</v>
      </c>
      <c r="N13">
        <f t="shared" si="3"/>
        <v>26</v>
      </c>
    </row>
    <row r="14" spans="1:14" x14ac:dyDescent="0.3">
      <c r="A14">
        <v>13</v>
      </c>
      <c r="B14" t="s">
        <v>11</v>
      </c>
      <c r="G14" t="s">
        <v>28</v>
      </c>
      <c r="H14" s="2">
        <v>0.39999999999999902</v>
      </c>
      <c r="I14">
        <f t="shared" si="1"/>
        <v>1687</v>
      </c>
      <c r="J14">
        <f t="shared" si="2"/>
        <v>1713</v>
      </c>
      <c r="K14" s="1">
        <f t="shared" si="0"/>
        <v>1700</v>
      </c>
      <c r="L14">
        <v>1705</v>
      </c>
      <c r="M14" s="1">
        <f>L14-K14</f>
        <v>5</v>
      </c>
      <c r="N14">
        <f t="shared" si="3"/>
        <v>25</v>
      </c>
    </row>
    <row r="15" spans="1:14" x14ac:dyDescent="0.3">
      <c r="A15">
        <v>14</v>
      </c>
      <c r="B15" t="s">
        <v>12</v>
      </c>
      <c r="G15" t="s">
        <v>29</v>
      </c>
      <c r="H15" s="2">
        <v>0.34999999999999898</v>
      </c>
      <c r="I15">
        <f t="shared" si="1"/>
        <v>1661</v>
      </c>
      <c r="J15">
        <f t="shared" si="2"/>
        <v>1687</v>
      </c>
      <c r="K15" s="1">
        <f t="shared" si="0"/>
        <v>1674</v>
      </c>
      <c r="L15">
        <v>1679</v>
      </c>
      <c r="M15" s="1">
        <f>L15-K15</f>
        <v>5</v>
      </c>
      <c r="N15">
        <f t="shared" si="3"/>
        <v>26</v>
      </c>
    </row>
    <row r="16" spans="1:14" x14ac:dyDescent="0.3">
      <c r="A16">
        <v>15</v>
      </c>
      <c r="B16" t="s">
        <v>13</v>
      </c>
      <c r="G16" t="s">
        <v>30</v>
      </c>
      <c r="H16" s="2">
        <v>0.29999999999999899</v>
      </c>
      <c r="I16">
        <f t="shared" si="1"/>
        <v>1635</v>
      </c>
      <c r="J16">
        <f t="shared" si="2"/>
        <v>1661</v>
      </c>
      <c r="K16" s="1">
        <f t="shared" si="0"/>
        <v>1648</v>
      </c>
      <c r="L16">
        <v>1653</v>
      </c>
      <c r="M16" s="1">
        <f>L16-K16</f>
        <v>5</v>
      </c>
      <c r="N16">
        <f t="shared" si="3"/>
        <v>26</v>
      </c>
    </row>
    <row r="17" spans="1:14" x14ac:dyDescent="0.3">
      <c r="A17">
        <v>16</v>
      </c>
      <c r="B17" t="s">
        <v>41</v>
      </c>
      <c r="G17" t="s">
        <v>31</v>
      </c>
      <c r="H17" s="2">
        <v>0.249999999999999</v>
      </c>
      <c r="I17">
        <f t="shared" si="1"/>
        <v>1609</v>
      </c>
      <c r="J17">
        <f t="shared" si="2"/>
        <v>1635</v>
      </c>
      <c r="K17" s="1">
        <f t="shared" si="0"/>
        <v>1622</v>
      </c>
      <c r="L17">
        <v>1628</v>
      </c>
      <c r="M17" s="1">
        <f>L17-K17</f>
        <v>6</v>
      </c>
      <c r="N17">
        <f t="shared" si="3"/>
        <v>25</v>
      </c>
    </row>
    <row r="18" spans="1:14" x14ac:dyDescent="0.3">
      <c r="A18">
        <v>17</v>
      </c>
      <c r="B18" t="s">
        <v>42</v>
      </c>
      <c r="G18" t="s">
        <v>32</v>
      </c>
      <c r="H18" s="2">
        <v>0.19999999999999901</v>
      </c>
      <c r="I18">
        <f t="shared" si="1"/>
        <v>1583</v>
      </c>
      <c r="J18">
        <f t="shared" si="2"/>
        <v>1609</v>
      </c>
      <c r="K18" s="1">
        <f t="shared" si="0"/>
        <v>1596</v>
      </c>
      <c r="L18">
        <v>1602</v>
      </c>
      <c r="M18" s="1">
        <f>L18-K18</f>
        <v>6</v>
      </c>
      <c r="N18">
        <f t="shared" si="3"/>
        <v>26</v>
      </c>
    </row>
    <row r="19" spans="1:14" x14ac:dyDescent="0.3">
      <c r="A19">
        <v>18</v>
      </c>
      <c r="B19" t="s">
        <v>43</v>
      </c>
      <c r="G19" t="s">
        <v>33</v>
      </c>
      <c r="H19" s="2">
        <v>0.149999999999999</v>
      </c>
      <c r="I19">
        <f>J19-N19</f>
        <v>1558</v>
      </c>
      <c r="J19">
        <f t="shared" si="2"/>
        <v>1583</v>
      </c>
      <c r="K19" s="1">
        <f t="shared" si="0"/>
        <v>1570.5</v>
      </c>
      <c r="L19">
        <v>1577</v>
      </c>
      <c r="M19" s="1">
        <f>L19-K19</f>
        <v>6.5</v>
      </c>
      <c r="N19">
        <f t="shared" si="3"/>
        <v>25</v>
      </c>
    </row>
    <row r="20" spans="1:14" x14ac:dyDescent="0.3">
      <c r="A20">
        <v>19</v>
      </c>
      <c r="B20" t="s">
        <v>44</v>
      </c>
    </row>
    <row r="21" spans="1:14" x14ac:dyDescent="0.3">
      <c r="A21">
        <v>20</v>
      </c>
    </row>
    <row r="22" spans="1:14" x14ac:dyDescent="0.3">
      <c r="A22">
        <v>21</v>
      </c>
    </row>
    <row r="23" spans="1:14" x14ac:dyDescent="0.3">
      <c r="A23">
        <v>22</v>
      </c>
    </row>
    <row r="24" spans="1:14" x14ac:dyDescent="0.3">
      <c r="A24">
        <v>23</v>
      </c>
    </row>
    <row r="25" spans="1:14" x14ac:dyDescent="0.3">
      <c r="A25">
        <v>24</v>
      </c>
    </row>
    <row r="26" spans="1:14" x14ac:dyDescent="0.3">
      <c r="A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Hulette</dc:creator>
  <cp:lastModifiedBy>Gregory Hulette</cp:lastModifiedBy>
  <dcterms:created xsi:type="dcterms:W3CDTF">2026-05-13T14:28:55Z</dcterms:created>
  <dcterms:modified xsi:type="dcterms:W3CDTF">2026-05-19T13:00:33Z</dcterms:modified>
</cp:coreProperties>
</file>